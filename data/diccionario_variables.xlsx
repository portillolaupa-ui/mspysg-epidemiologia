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xterno.aportillol\Documents\R\mspysg-epidemiologia\data\"/>
    </mc:Choice>
  </mc:AlternateContent>
  <xr:revisionPtr revIDLastSave="0" documentId="13_ncr:1_{BDFEA8E2-3317-418F-BE29-5AAF5851D8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ccionario" sheetId="1" r:id="rId1"/>
    <sheet name="data_ejempl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2" l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</calcChain>
</file>

<file path=xl/sharedStrings.xml><?xml version="1.0" encoding="utf-8"?>
<sst xmlns="http://schemas.openxmlformats.org/spreadsheetml/2006/main" count="465" uniqueCount="115">
  <si>
    <t>Variable</t>
  </si>
  <si>
    <t>Tipo_R</t>
  </si>
  <si>
    <t>Valores_Unicos</t>
  </si>
  <si>
    <t>Descripcion</t>
  </si>
  <si>
    <t>Codificacion</t>
  </si>
  <si>
    <t>Serial_No</t>
  </si>
  <si>
    <t>numeric</t>
  </si>
  <si>
    <t>Sex</t>
  </si>
  <si>
    <t>factor</t>
  </si>
  <si>
    <t>Sexo biológico del participante</t>
  </si>
  <si>
    <t>1 = Male; 2 = Female</t>
  </si>
  <si>
    <t>Survival</t>
  </si>
  <si>
    <t>Mortalidad</t>
  </si>
  <si>
    <t>0 = Absence; 1 = Presence</t>
  </si>
  <si>
    <t>Recurrence</t>
  </si>
  <si>
    <t>Recurrencia</t>
  </si>
  <si>
    <t>stage_simple</t>
  </si>
  <si>
    <t>1 = I; 2 = II; 3 = III; 4 = IV</t>
  </si>
  <si>
    <t>Combined_N</t>
  </si>
  <si>
    <t>Combined_2_N</t>
  </si>
  <si>
    <t>CDKN2A_MGMT_N</t>
  </si>
  <si>
    <t>CDKN2A_N</t>
  </si>
  <si>
    <t>MGMT_N</t>
  </si>
  <si>
    <t>MLH1_N</t>
  </si>
  <si>
    <t>CDKN2A_T</t>
  </si>
  <si>
    <t>MLH1_T</t>
  </si>
  <si>
    <t>MGMT_T</t>
  </si>
  <si>
    <t>p16N</t>
  </si>
  <si>
    <t>p16T</t>
  </si>
  <si>
    <t>ml_N</t>
  </si>
  <si>
    <t>ml_T</t>
  </si>
  <si>
    <t>mg_N</t>
  </si>
  <si>
    <t>mg_T</t>
  </si>
  <si>
    <t>all_gene_2_N</t>
  </si>
  <si>
    <t>all_gene_N</t>
  </si>
  <si>
    <t>Combined_T</t>
  </si>
  <si>
    <t>Combined_2_T</t>
  </si>
  <si>
    <t>all_gene_2_T</t>
  </si>
  <si>
    <t>all_gene_T</t>
  </si>
  <si>
    <t>stage_simple_2</t>
  </si>
  <si>
    <t>Follow_up_month</t>
  </si>
  <si>
    <t>Tiempo de seguimiento</t>
  </si>
  <si>
    <t>Meses</t>
  </si>
  <si>
    <t>Follow_up_statifi_24mon</t>
  </si>
  <si>
    <t>Follow_up_statifi_36mon</t>
  </si>
  <si>
    <t>all_gene_N_2vs1</t>
  </si>
  <si>
    <t>all_gene_N_3vs1</t>
  </si>
  <si>
    <t>all_gene_N_23vs1</t>
  </si>
  <si>
    <t>all_gene_N_4vs1</t>
  </si>
  <si>
    <t>grade</t>
  </si>
  <si>
    <t>chemT</t>
  </si>
  <si>
    <t>0 = No; 1 = Sí</t>
  </si>
  <si>
    <t>location</t>
  </si>
  <si>
    <t>Localización del tumor</t>
  </si>
  <si>
    <t>1–6 = Categorías de localización del tumor</t>
  </si>
  <si>
    <t>si</t>
  </si>
  <si>
    <t>TUMOR</t>
  </si>
  <si>
    <t>MLH1</t>
  </si>
  <si>
    <t>no</t>
  </si>
  <si>
    <t>local</t>
  </si>
  <si>
    <t>II</t>
  </si>
  <si>
    <t>no (absence)</t>
  </si>
  <si>
    <t>F</t>
  </si>
  <si>
    <t>MGMT</t>
  </si>
  <si>
    <t>CDKN2A</t>
  </si>
  <si>
    <t>NORMAL</t>
  </si>
  <si>
    <t>I</t>
  </si>
  <si>
    <t>M</t>
  </si>
  <si>
    <t>Avanzado</t>
  </si>
  <si>
    <t>IV</t>
  </si>
  <si>
    <t>si (presence)</t>
  </si>
  <si>
    <t>III</t>
  </si>
  <si>
    <t>metilacion + grupo estadio</t>
  </si>
  <si>
    <t>metilacion</t>
  </si>
  <si>
    <t>tejido</t>
  </si>
  <si>
    <t>gen</t>
  </si>
  <si>
    <t>localizacion</t>
  </si>
  <si>
    <t>qiomioterapia (chemT)</t>
  </si>
  <si>
    <t>tiempo de seguimiento (Follow_up_month)</t>
  </si>
  <si>
    <t>grupo_estadio</t>
  </si>
  <si>
    <t>estadio (stage_simple)</t>
  </si>
  <si>
    <t>recurrencia (recurrence)</t>
  </si>
  <si>
    <t>muerte (survival)</t>
  </si>
  <si>
    <t>sexo</t>
  </si>
  <si>
    <t>ID</t>
  </si>
  <si>
    <t>avanzado</t>
  </si>
  <si>
    <t>edad</t>
  </si>
  <si>
    <t>grupo_estadio (stage_simple_2)</t>
  </si>
  <si>
    <t>Estadio clínico del cáncer</t>
  </si>
  <si>
    <t>Metilación del gen CDKN2A (p16) en tejido normal</t>
  </si>
  <si>
    <t>Metilación del gen MGMT en tejido normal</t>
  </si>
  <si>
    <t>Metilación del gen MLH1 en tejido normal</t>
  </si>
  <si>
    <t>Metilación del gen CDKN2A (p16) en tejido tumoral</t>
  </si>
  <si>
    <t>Metilación del gen MLH1 en tejido tumoral</t>
  </si>
  <si>
    <t>Metilación del gen MGMT en tejido tumoral</t>
  </si>
  <si>
    <t>Agrupación del estadio clínico del cáncer</t>
  </si>
  <si>
    <t>Quimioterapia</t>
  </si>
  <si>
    <t>0 = No metilado; 1 = Metilado</t>
  </si>
  <si>
    <t>1 = No metilado - Local; 2 = No metilado - Advanced; 3 = Metilado + Local; 4 = Metilado + Advanced</t>
  </si>
  <si>
    <t>Agrupación de CDKN2A_N y stage_simple_2</t>
  </si>
  <si>
    <t>Agrupación de CDKN2A_T y stage_simple_2</t>
  </si>
  <si>
    <t>Agrupación de MLH1_N y stage_simple_2</t>
  </si>
  <si>
    <t>Agrupación de MLH1_T y stage_simple_2</t>
  </si>
  <si>
    <t>Agrupación de MGMT_N y stage simple_2</t>
  </si>
  <si>
    <t>Agrupación de MGMT_T y stage simple_2</t>
  </si>
  <si>
    <t>Rol</t>
  </si>
  <si>
    <t>Identificador</t>
  </si>
  <si>
    <t>Indentificador de cada fila y participante</t>
  </si>
  <si>
    <t>Covariable</t>
  </si>
  <si>
    <t>Desenlace</t>
  </si>
  <si>
    <t>Exposición</t>
  </si>
  <si>
    <t>Tiempo</t>
  </si>
  <si>
    <t>Biomarcador</t>
  </si>
  <si>
    <t>Derivada</t>
  </si>
  <si>
    <t>1 = Local stage (I, II); 2 = Advanced stage (III, IV)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</si>
</sst>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1" fillId="0" borderId="0" xfId="1" applyAlignment="1">
      <alignment horizontal="center"/>
    </xf>
    <xf numFmtId="0" fontId="1" fillId="0" borderId="0" xfId="1" applyAlignment="1">
      <alignment horizontal="left"/>
    </xf>
    <xf numFmtId="0" fontId="1" fillId="0" borderId="0" xfId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</cellXfs>
  <cellStyles count="2">
    <cellStyle name="Normal" xfId="0" builtinId="0"/>
    <cellStyle name="Normal 2" xfId="1" xr:uid="{6AA4FAA2-90A8-4681-9C8F-3D5F33119E77}"/>
  </cellStyles>
  <dxfs count="30"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B2B25F-6DAD-454A-9752-D3516409E182}" name="Tabla1" displayName="Tabla1" ref="A1:F38" totalsRowShown="0" headerRowDxfId="2">
  <autoFilter ref="A1:F38" xr:uid="{09B2B25F-6DAD-454A-9752-D3516409E182}"/>
  <tableColumns count="6">
    <tableColumn id="1" xr3:uid="{05D5DC14-5068-43D7-AC20-95E9D33DFE73}" name="Variable"/>
    <tableColumn id="2" xr3:uid="{63AC93C0-9381-45D2-B1D4-6166E40C5414}" name="Tipo_R"/>
    <tableColumn id="3" xr3:uid="{D38F0C1B-6AE4-478A-9BBD-E1F581C36DD3}" name="Valores_Unicos" dataDxfId="1"/>
    <tableColumn id="5" xr3:uid="{9420220A-0DDF-4E4D-AC40-40ABDEAB4256}" name="Rol" dataDxfId="0"/>
    <tableColumn id="4" xr3:uid="{35952994-8DB2-4532-BC61-6F2A91BA123C}" name="Descripcion"/>
    <tableColumn id="6" xr3:uid="{96A58A2F-AEDA-4EEC-9ECE-6000366F0F26}" name="Codificac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EE7BC9-DCD1-44C9-BAEA-BEA26F8E3E2A}" name="Tabla3" displayName="Tabla3" ref="A9:M39" totalsRowShown="0" headerRowDxfId="29" dataDxfId="28">
  <autoFilter ref="A9:M39" xr:uid="{1C4F138A-673D-45ED-A15C-2C1FD1978636}"/>
  <tableColumns count="13">
    <tableColumn id="1" xr3:uid="{B6C36679-A7E0-4532-921C-8D8C11D155C3}" name="ID" dataDxfId="27"/>
    <tableColumn id="2" xr3:uid="{7F667168-FFCA-4B81-97E8-228FB01CCA9E}" name="sexo" dataDxfId="26"/>
    <tableColumn id="3" xr3:uid="{024E8B9A-0902-42E1-8B7B-21E77E01D43A}" name="muerte (survival)" dataDxfId="25"/>
    <tableColumn id="4" xr3:uid="{0C6FCE30-5ED1-4D7A-A439-75791B771B05}" name="recurrencia (recurrence)" dataDxfId="24"/>
    <tableColumn id="5" xr3:uid="{572B2EF6-DB9C-42E5-89CC-030E2A256E10}" name="estadio (stage_simple)" dataDxfId="23"/>
    <tableColumn id="6" xr3:uid="{5BEF6562-002C-4680-9ED2-51D36EAAF065}" name="grupo_estadio" dataDxfId="22"/>
    <tableColumn id="7" xr3:uid="{BD43658D-6F5C-4407-ADCA-18AD4F27FBED}" name="tiempo de seguimiento (Follow_up_month)" dataDxfId="21"/>
    <tableColumn id="8" xr3:uid="{6ADE3C36-9F72-43DB-A463-F1FC63D92F6E}" name="qiomioterapia (chemT)" dataDxfId="20"/>
    <tableColumn id="9" xr3:uid="{0FBFD49D-F817-4227-9506-AD59DA055CB1}" name="localizacion" dataDxfId="19"/>
    <tableColumn id="10" xr3:uid="{C619F460-3212-4BEF-8B25-876822DA4F8C}" name="gen" dataDxfId="18"/>
    <tableColumn id="11" xr3:uid="{3843A6F4-DA90-4435-BAB2-726E3D70D4A1}" name="tejido" dataDxfId="17"/>
    <tableColumn id="12" xr3:uid="{F4820BCB-FE6E-40B0-B83F-9C7D276CFAA8}" name="metilacion" dataDxfId="16"/>
    <tableColumn id="13" xr3:uid="{A666774B-9FF8-4E2B-B198-B517479FA3B2}" name="metilacion + grupo estadio" dataDxfId="15">
      <calculatedColumnFormula>CONCATENATE(L10," ",L$9," ","-"," ",F10)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581B99-7FC6-4BBC-9A19-AB6E1090CFBE}" name="Tabla4" displayName="Tabla4" ref="A1:J6" totalsRowShown="0" headerRowDxfId="14" dataDxfId="13">
  <autoFilter ref="A1:J6" xr:uid="{A97DD45F-6549-4C7F-A469-0AD7FCF4390E}"/>
  <tableColumns count="10">
    <tableColumn id="1" xr3:uid="{FB1EBBA0-AA43-4F34-BF13-AAA135F6DD9A}" name="ID" dataDxfId="12"/>
    <tableColumn id="2" xr3:uid="{4F91B655-97F5-48A9-AA8F-B85B312DFD66}" name="sexo" dataDxfId="11"/>
    <tableColumn id="3" xr3:uid="{25D3A672-A426-4D1C-B72E-9EED87E7CEBA}" name="muerte (survival)" dataDxfId="10"/>
    <tableColumn id="4" xr3:uid="{26C10A2C-050B-42DD-9A37-6F296B2B8D16}" name="recurrencia (recurrence)" dataDxfId="9"/>
    <tableColumn id="5" xr3:uid="{E06E35FC-EEAC-46EE-A0D6-3F378B222E65}" name="estadio (stage_simple)" dataDxfId="8"/>
    <tableColumn id="6" xr3:uid="{5FCC7973-5201-41EF-B618-BDFFA860E9D0}" name="grupo_estadio (stage_simple_2)" dataDxfId="7"/>
    <tableColumn id="7" xr3:uid="{8E4682F5-66FF-4AEA-9BBE-F69F3DF3363A}" name="tiempo de seguimiento (Follow_up_month)" dataDxfId="6"/>
    <tableColumn id="8" xr3:uid="{25DA63C7-5AD1-40D2-A334-CB084FEBC479}" name="qiomioterapia (chemT)" dataDxfId="5"/>
    <tableColumn id="9" xr3:uid="{AF92C87B-7325-42F8-9C57-CF68623D88CE}" name="localizacion" dataDxfId="4"/>
    <tableColumn id="10" xr3:uid="{57901026-E1FE-468F-B9CE-2BAFE9A119DC}" name="edad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tabSelected="1" workbookViewId="0">
      <selection activeCell="F29" sqref="F29"/>
    </sheetView>
  </sheetViews>
  <sheetFormatPr baseColWidth="10" defaultRowHeight="15" x14ac:dyDescent="0.25"/>
  <cols>
    <col min="1" max="1" width="23.7109375" bestFit="1" customWidth="1"/>
    <col min="3" max="3" width="9.7109375" style="1" customWidth="1"/>
    <col min="4" max="4" width="12.42578125" style="1" bestFit="1" customWidth="1"/>
    <col min="5" max="5" width="46.5703125" customWidth="1"/>
    <col min="6" max="6" width="87.140625" customWidth="1"/>
  </cols>
  <sheetData>
    <row r="1" spans="1:6" s="6" customFormat="1" ht="30" x14ac:dyDescent="0.25">
      <c r="A1" s="6" t="s">
        <v>0</v>
      </c>
      <c r="B1" s="6" t="s">
        <v>1</v>
      </c>
      <c r="C1" s="6" t="s">
        <v>2</v>
      </c>
      <c r="D1" s="6" t="s">
        <v>105</v>
      </c>
      <c r="E1" s="6" t="s">
        <v>3</v>
      </c>
      <c r="F1" s="6" t="s">
        <v>4</v>
      </c>
    </row>
    <row r="2" spans="1:6" x14ac:dyDescent="0.25">
      <c r="A2" t="s">
        <v>5</v>
      </c>
      <c r="B2" t="s">
        <v>6</v>
      </c>
      <c r="C2" s="1">
        <v>215</v>
      </c>
      <c r="D2" s="7" t="s">
        <v>106</v>
      </c>
      <c r="E2" t="s">
        <v>107</v>
      </c>
    </row>
    <row r="3" spans="1:6" x14ac:dyDescent="0.25">
      <c r="A3" t="s">
        <v>7</v>
      </c>
      <c r="B3" t="s">
        <v>8</v>
      </c>
      <c r="C3" s="1">
        <v>2</v>
      </c>
      <c r="D3" s="7" t="s">
        <v>108</v>
      </c>
      <c r="E3" t="s">
        <v>9</v>
      </c>
      <c r="F3" t="s">
        <v>10</v>
      </c>
    </row>
    <row r="4" spans="1:6" x14ac:dyDescent="0.25">
      <c r="A4" t="s">
        <v>11</v>
      </c>
      <c r="B4" t="s">
        <v>8</v>
      </c>
      <c r="C4" s="1">
        <v>2</v>
      </c>
      <c r="D4" s="7" t="s">
        <v>109</v>
      </c>
      <c r="E4" t="s">
        <v>12</v>
      </c>
      <c r="F4" t="s">
        <v>13</v>
      </c>
    </row>
    <row r="5" spans="1:6" x14ac:dyDescent="0.25">
      <c r="A5" t="s">
        <v>14</v>
      </c>
      <c r="B5" t="s">
        <v>8</v>
      </c>
      <c r="C5" s="1">
        <v>2</v>
      </c>
      <c r="D5" s="7" t="s">
        <v>109</v>
      </c>
      <c r="E5" t="s">
        <v>15</v>
      </c>
      <c r="F5" t="s">
        <v>13</v>
      </c>
    </row>
    <row r="6" spans="1:6" x14ac:dyDescent="0.25">
      <c r="A6" t="s">
        <v>16</v>
      </c>
      <c r="B6" t="s">
        <v>8</v>
      </c>
      <c r="C6" s="1">
        <v>4</v>
      </c>
      <c r="D6" s="7" t="s">
        <v>110</v>
      </c>
      <c r="E6" t="s">
        <v>88</v>
      </c>
      <c r="F6" t="s">
        <v>17</v>
      </c>
    </row>
    <row r="7" spans="1:6" x14ac:dyDescent="0.25">
      <c r="A7" t="s">
        <v>18</v>
      </c>
      <c r="B7" t="s">
        <v>6</v>
      </c>
      <c r="C7" s="1">
        <v>2</v>
      </c>
      <c r="D7" s="7"/>
    </row>
    <row r="8" spans="1:6" x14ac:dyDescent="0.25">
      <c r="A8" t="s">
        <v>19</v>
      </c>
      <c r="B8" t="s">
        <v>6</v>
      </c>
      <c r="C8" s="1">
        <v>2</v>
      </c>
      <c r="D8" s="7"/>
    </row>
    <row r="9" spans="1:6" x14ac:dyDescent="0.25">
      <c r="A9" t="s">
        <v>20</v>
      </c>
      <c r="B9" t="s">
        <v>6</v>
      </c>
      <c r="C9" s="1">
        <v>2</v>
      </c>
      <c r="D9" s="7"/>
    </row>
    <row r="10" spans="1:6" x14ac:dyDescent="0.25">
      <c r="A10" t="s">
        <v>21</v>
      </c>
      <c r="B10" t="s">
        <v>6</v>
      </c>
      <c r="C10" s="1">
        <v>2</v>
      </c>
      <c r="D10" s="7" t="s">
        <v>112</v>
      </c>
      <c r="E10" t="s">
        <v>89</v>
      </c>
      <c r="F10" t="s">
        <v>97</v>
      </c>
    </row>
    <row r="11" spans="1:6" x14ac:dyDescent="0.25">
      <c r="A11" t="s">
        <v>22</v>
      </c>
      <c r="B11" t="s">
        <v>6</v>
      </c>
      <c r="C11" s="1">
        <v>2</v>
      </c>
      <c r="D11" s="7" t="s">
        <v>112</v>
      </c>
      <c r="E11" t="s">
        <v>90</v>
      </c>
      <c r="F11" t="s">
        <v>97</v>
      </c>
    </row>
    <row r="12" spans="1:6" x14ac:dyDescent="0.25">
      <c r="A12" t="s">
        <v>23</v>
      </c>
      <c r="B12" t="s">
        <v>6</v>
      </c>
      <c r="C12" s="1">
        <v>2</v>
      </c>
      <c r="D12" s="7" t="s">
        <v>112</v>
      </c>
      <c r="E12" t="s">
        <v>91</v>
      </c>
      <c r="F12" t="s">
        <v>97</v>
      </c>
    </row>
    <row r="13" spans="1:6" x14ac:dyDescent="0.25">
      <c r="A13" t="s">
        <v>24</v>
      </c>
      <c r="B13" t="s">
        <v>6</v>
      </c>
      <c r="C13" s="1">
        <v>2</v>
      </c>
      <c r="D13" s="7" t="s">
        <v>112</v>
      </c>
      <c r="E13" t="s">
        <v>92</v>
      </c>
      <c r="F13" t="s">
        <v>97</v>
      </c>
    </row>
    <row r="14" spans="1:6" x14ac:dyDescent="0.25">
      <c r="A14" t="s">
        <v>25</v>
      </c>
      <c r="B14" t="s">
        <v>6</v>
      </c>
      <c r="C14" s="1">
        <v>2</v>
      </c>
      <c r="D14" s="7" t="s">
        <v>112</v>
      </c>
      <c r="E14" t="s">
        <v>93</v>
      </c>
      <c r="F14" t="s">
        <v>97</v>
      </c>
    </row>
    <row r="15" spans="1:6" x14ac:dyDescent="0.25">
      <c r="A15" t="s">
        <v>26</v>
      </c>
      <c r="B15" t="s">
        <v>6</v>
      </c>
      <c r="C15" s="1">
        <v>2</v>
      </c>
      <c r="D15" s="7" t="s">
        <v>112</v>
      </c>
      <c r="E15" t="s">
        <v>94</v>
      </c>
      <c r="F15" t="s">
        <v>97</v>
      </c>
    </row>
    <row r="16" spans="1:6" x14ac:dyDescent="0.25">
      <c r="A16" t="s">
        <v>27</v>
      </c>
      <c r="B16" t="s">
        <v>6</v>
      </c>
      <c r="C16" s="1">
        <v>4</v>
      </c>
      <c r="D16" s="7" t="s">
        <v>113</v>
      </c>
      <c r="E16" t="s">
        <v>99</v>
      </c>
      <c r="F16" t="s">
        <v>98</v>
      </c>
    </row>
    <row r="17" spans="1:6" x14ac:dyDescent="0.25">
      <c r="A17" t="s">
        <v>28</v>
      </c>
      <c r="B17" t="s">
        <v>6</v>
      </c>
      <c r="C17" s="1">
        <v>4</v>
      </c>
      <c r="D17" s="7" t="s">
        <v>113</v>
      </c>
      <c r="E17" t="s">
        <v>100</v>
      </c>
      <c r="F17" t="s">
        <v>98</v>
      </c>
    </row>
    <row r="18" spans="1:6" x14ac:dyDescent="0.25">
      <c r="A18" t="s">
        <v>29</v>
      </c>
      <c r="B18" t="s">
        <v>6</v>
      </c>
      <c r="C18" s="1">
        <v>4</v>
      </c>
      <c r="D18" s="7" t="s">
        <v>113</v>
      </c>
      <c r="E18" t="s">
        <v>101</v>
      </c>
      <c r="F18" t="s">
        <v>98</v>
      </c>
    </row>
    <row r="19" spans="1:6" x14ac:dyDescent="0.25">
      <c r="A19" t="s">
        <v>30</v>
      </c>
      <c r="B19" t="s">
        <v>6</v>
      </c>
      <c r="C19" s="1">
        <v>4</v>
      </c>
      <c r="D19" s="7" t="s">
        <v>113</v>
      </c>
      <c r="E19" t="s">
        <v>102</v>
      </c>
      <c r="F19" t="s">
        <v>98</v>
      </c>
    </row>
    <row r="20" spans="1:6" x14ac:dyDescent="0.25">
      <c r="A20" t="s">
        <v>31</v>
      </c>
      <c r="B20" t="s">
        <v>6</v>
      </c>
      <c r="C20" s="1">
        <v>4</v>
      </c>
      <c r="D20" s="7" t="s">
        <v>113</v>
      </c>
      <c r="E20" t="s">
        <v>103</v>
      </c>
      <c r="F20" t="s">
        <v>98</v>
      </c>
    </row>
    <row r="21" spans="1:6" x14ac:dyDescent="0.25">
      <c r="A21" t="s">
        <v>32</v>
      </c>
      <c r="B21" t="s">
        <v>6</v>
      </c>
      <c r="C21" s="1">
        <v>4</v>
      </c>
      <c r="D21" s="7" t="s">
        <v>113</v>
      </c>
      <c r="E21" t="s">
        <v>104</v>
      </c>
      <c r="F21" t="s">
        <v>98</v>
      </c>
    </row>
    <row r="22" spans="1:6" x14ac:dyDescent="0.25">
      <c r="A22" t="s">
        <v>33</v>
      </c>
      <c r="B22" t="s">
        <v>6</v>
      </c>
      <c r="C22" s="1">
        <v>4</v>
      </c>
      <c r="D22" s="7"/>
    </row>
    <row r="23" spans="1:6" x14ac:dyDescent="0.25">
      <c r="A23" t="s">
        <v>34</v>
      </c>
      <c r="B23" t="s">
        <v>6</v>
      </c>
      <c r="C23" s="1">
        <v>4</v>
      </c>
      <c r="D23" s="7"/>
    </row>
    <row r="24" spans="1:6" x14ac:dyDescent="0.25">
      <c r="A24" t="s">
        <v>35</v>
      </c>
      <c r="B24" t="s">
        <v>6</v>
      </c>
      <c r="C24" s="1">
        <v>2</v>
      </c>
      <c r="D24" s="7"/>
    </row>
    <row r="25" spans="1:6" x14ac:dyDescent="0.25">
      <c r="A25" t="s">
        <v>36</v>
      </c>
      <c r="B25" t="s">
        <v>6</v>
      </c>
      <c r="C25" s="1">
        <v>2</v>
      </c>
      <c r="D25" s="7"/>
    </row>
    <row r="26" spans="1:6" x14ac:dyDescent="0.25">
      <c r="A26" t="s">
        <v>37</v>
      </c>
      <c r="B26" t="s">
        <v>6</v>
      </c>
      <c r="C26" s="1">
        <v>4</v>
      </c>
      <c r="D26" s="7"/>
    </row>
    <row r="27" spans="1:6" x14ac:dyDescent="0.25">
      <c r="A27" t="s">
        <v>38</v>
      </c>
      <c r="B27" t="s">
        <v>6</v>
      </c>
      <c r="C27" s="1">
        <v>4</v>
      </c>
      <c r="D27" s="7"/>
    </row>
    <row r="28" spans="1:6" x14ac:dyDescent="0.25">
      <c r="A28" t="s">
        <v>39</v>
      </c>
      <c r="B28" t="s">
        <v>6</v>
      </c>
      <c r="C28" s="1">
        <v>2</v>
      </c>
      <c r="D28" s="7" t="s">
        <v>110</v>
      </c>
      <c r="E28" t="s">
        <v>95</v>
      </c>
      <c r="F28" t="s">
        <v>114</v>
      </c>
    </row>
    <row r="29" spans="1:6" x14ac:dyDescent="0.25">
      <c r="A29" t="s">
        <v>40</v>
      </c>
      <c r="B29" t="s">
        <v>6</v>
      </c>
      <c r="C29" s="1">
        <v>192</v>
      </c>
      <c r="D29" s="7" t="s">
        <v>111</v>
      </c>
      <c r="E29" t="s">
        <v>41</v>
      </c>
      <c r="F29" t="s">
        <v>42</v>
      </c>
    </row>
    <row r="30" spans="1:6" x14ac:dyDescent="0.25">
      <c r="A30" t="s">
        <v>43</v>
      </c>
      <c r="B30" t="s">
        <v>6</v>
      </c>
      <c r="C30" s="1">
        <v>2</v>
      </c>
      <c r="D30" s="7"/>
    </row>
    <row r="31" spans="1:6" x14ac:dyDescent="0.25">
      <c r="A31" t="s">
        <v>44</v>
      </c>
      <c r="B31" t="s">
        <v>6</v>
      </c>
      <c r="C31" s="1">
        <v>2</v>
      </c>
      <c r="D31" s="7"/>
    </row>
    <row r="32" spans="1:6" x14ac:dyDescent="0.25">
      <c r="A32" t="s">
        <v>45</v>
      </c>
      <c r="B32" t="s">
        <v>6</v>
      </c>
      <c r="C32" s="1">
        <v>3</v>
      </c>
      <c r="D32" s="7"/>
    </row>
    <row r="33" spans="1:6" x14ac:dyDescent="0.25">
      <c r="A33" t="s">
        <v>46</v>
      </c>
      <c r="B33" t="s">
        <v>6</v>
      </c>
      <c r="C33" s="1">
        <v>3</v>
      </c>
      <c r="D33" s="7"/>
    </row>
    <row r="34" spans="1:6" x14ac:dyDescent="0.25">
      <c r="A34" t="s">
        <v>47</v>
      </c>
      <c r="B34" t="s">
        <v>6</v>
      </c>
      <c r="C34" s="1">
        <v>3</v>
      </c>
      <c r="D34" s="7"/>
    </row>
    <row r="35" spans="1:6" x14ac:dyDescent="0.25">
      <c r="A35" t="s">
        <v>48</v>
      </c>
      <c r="B35" t="s">
        <v>6</v>
      </c>
      <c r="C35" s="1">
        <v>3</v>
      </c>
      <c r="D35" s="7"/>
    </row>
    <row r="36" spans="1:6" x14ac:dyDescent="0.25">
      <c r="A36" t="s">
        <v>49</v>
      </c>
      <c r="B36" t="s">
        <v>6</v>
      </c>
      <c r="C36" s="1">
        <v>4</v>
      </c>
      <c r="D36" s="7"/>
    </row>
    <row r="37" spans="1:6" x14ac:dyDescent="0.25">
      <c r="A37" t="s">
        <v>50</v>
      </c>
      <c r="B37" t="s">
        <v>6</v>
      </c>
      <c r="C37" s="1">
        <v>3</v>
      </c>
      <c r="D37" s="7" t="s">
        <v>108</v>
      </c>
      <c r="E37" t="s">
        <v>96</v>
      </c>
      <c r="F37" t="s">
        <v>51</v>
      </c>
    </row>
    <row r="38" spans="1:6" x14ac:dyDescent="0.25">
      <c r="A38" t="s">
        <v>52</v>
      </c>
      <c r="B38" t="s">
        <v>6</v>
      </c>
      <c r="C38" s="1">
        <v>7</v>
      </c>
      <c r="D38" s="7" t="s">
        <v>108</v>
      </c>
      <c r="E38" t="s">
        <v>53</v>
      </c>
      <c r="F38" t="s">
        <v>54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BCE25-BA27-40C3-AC01-0E2C88F0A0B7}">
  <dimension ref="A1:N39"/>
  <sheetViews>
    <sheetView showGridLines="0" workbookViewId="0">
      <pane ySplit="9" topLeftCell="A10" activePane="bottomLeft" state="frozen"/>
      <selection pane="bottomLeft" activeCell="D19" sqref="D19"/>
    </sheetView>
  </sheetViews>
  <sheetFormatPr baseColWidth="10" defaultRowHeight="15" x14ac:dyDescent="0.25"/>
  <cols>
    <col min="1" max="1" width="5.140625" style="2" customWidth="1"/>
    <col min="2" max="2" width="7.42578125" style="3" customWidth="1"/>
    <col min="3" max="3" width="17.7109375" style="3" customWidth="1"/>
    <col min="4" max="9" width="18.5703125" style="3" customWidth="1"/>
    <col min="10" max="10" width="8.140625" style="3" bestFit="1" customWidth="1"/>
    <col min="11" max="11" width="8.5703125" style="3" bestFit="1" customWidth="1"/>
    <col min="12" max="12" width="12.7109375" style="3" customWidth="1"/>
    <col min="13" max="13" width="26.85546875" style="3" customWidth="1"/>
    <col min="14" max="14" width="11.42578125" style="3"/>
    <col min="15" max="16384" width="11.42578125" style="2"/>
  </cols>
  <sheetData>
    <row r="1" spans="1:14" ht="60" x14ac:dyDescent="0.25">
      <c r="A1" s="5" t="s">
        <v>84</v>
      </c>
      <c r="B1" s="5" t="s">
        <v>83</v>
      </c>
      <c r="C1" s="5" t="s">
        <v>82</v>
      </c>
      <c r="D1" s="5" t="s">
        <v>81</v>
      </c>
      <c r="E1" s="5" t="s">
        <v>80</v>
      </c>
      <c r="F1" s="5" t="s">
        <v>87</v>
      </c>
      <c r="G1" s="5" t="s">
        <v>78</v>
      </c>
      <c r="H1" s="5" t="s">
        <v>77</v>
      </c>
      <c r="I1" s="5" t="s">
        <v>76</v>
      </c>
      <c r="J1" s="5" t="s">
        <v>86</v>
      </c>
    </row>
    <row r="2" spans="1:14" x14ac:dyDescent="0.25">
      <c r="A2" s="4">
        <v>1</v>
      </c>
      <c r="B2" s="3" t="s">
        <v>67</v>
      </c>
      <c r="C2" s="3" t="s">
        <v>61</v>
      </c>
      <c r="D2" s="3" t="s">
        <v>61</v>
      </c>
      <c r="E2" s="3" t="s">
        <v>71</v>
      </c>
      <c r="F2" s="3" t="s">
        <v>85</v>
      </c>
      <c r="G2" s="3">
        <v>9.1300000000000008</v>
      </c>
      <c r="H2" s="3" t="s">
        <v>55</v>
      </c>
      <c r="I2" s="3">
        <v>4</v>
      </c>
    </row>
    <row r="3" spans="1:14" x14ac:dyDescent="0.25">
      <c r="A3" s="4">
        <v>5</v>
      </c>
      <c r="B3" s="3" t="s">
        <v>62</v>
      </c>
      <c r="C3" s="3" t="s">
        <v>70</v>
      </c>
      <c r="D3" s="3" t="s">
        <v>70</v>
      </c>
      <c r="E3" s="3" t="s">
        <v>69</v>
      </c>
      <c r="F3" s="3" t="s">
        <v>85</v>
      </c>
      <c r="G3" s="3">
        <v>8.25</v>
      </c>
      <c r="H3" s="3" t="s">
        <v>55</v>
      </c>
      <c r="I3" s="3">
        <v>3</v>
      </c>
    </row>
    <row r="4" spans="1:14" x14ac:dyDescent="0.25">
      <c r="A4" s="4">
        <v>143</v>
      </c>
      <c r="B4" s="3" t="s">
        <v>62</v>
      </c>
      <c r="C4" s="3" t="s">
        <v>61</v>
      </c>
      <c r="D4" s="3" t="s">
        <v>61</v>
      </c>
      <c r="E4" s="3" t="s">
        <v>60</v>
      </c>
      <c r="F4" s="3" t="s">
        <v>59</v>
      </c>
      <c r="G4" s="3">
        <v>26.28</v>
      </c>
      <c r="H4" s="3" t="s">
        <v>58</v>
      </c>
      <c r="I4" s="3">
        <v>1</v>
      </c>
    </row>
    <row r="5" spans="1:14" x14ac:dyDescent="0.25">
      <c r="A5" s="4">
        <v>149</v>
      </c>
      <c r="B5" s="3" t="s">
        <v>67</v>
      </c>
      <c r="C5" s="3" t="s">
        <v>61</v>
      </c>
      <c r="D5" s="3" t="s">
        <v>61</v>
      </c>
      <c r="E5" s="3" t="s">
        <v>66</v>
      </c>
      <c r="F5" s="3" t="s">
        <v>59</v>
      </c>
      <c r="G5" s="3">
        <v>30.65</v>
      </c>
      <c r="H5" s="3" t="s">
        <v>55</v>
      </c>
      <c r="I5" s="3">
        <v>5</v>
      </c>
    </row>
    <row r="6" spans="1:14" x14ac:dyDescent="0.25">
      <c r="A6" s="4">
        <v>156</v>
      </c>
      <c r="B6" s="3" t="s">
        <v>62</v>
      </c>
      <c r="C6" s="3" t="s">
        <v>61</v>
      </c>
      <c r="D6" s="3" t="s">
        <v>61</v>
      </c>
      <c r="E6" s="3" t="s">
        <v>60</v>
      </c>
      <c r="F6" s="3" t="s">
        <v>59</v>
      </c>
      <c r="G6" s="3">
        <v>17.38</v>
      </c>
      <c r="H6" s="3" t="s">
        <v>58</v>
      </c>
      <c r="I6" s="3">
        <v>6</v>
      </c>
    </row>
    <row r="9" spans="1:14" s="5" customFormat="1" ht="45.75" customHeight="1" x14ac:dyDescent="0.25">
      <c r="A9" s="5" t="s">
        <v>84</v>
      </c>
      <c r="B9" s="5" t="s">
        <v>83</v>
      </c>
      <c r="C9" s="5" t="s">
        <v>82</v>
      </c>
      <c r="D9" s="5" t="s">
        <v>81</v>
      </c>
      <c r="E9" s="5" t="s">
        <v>80</v>
      </c>
      <c r="F9" s="5" t="s">
        <v>79</v>
      </c>
      <c r="G9" s="5" t="s">
        <v>78</v>
      </c>
      <c r="H9" s="5" t="s">
        <v>77</v>
      </c>
      <c r="I9" s="5" t="s">
        <v>76</v>
      </c>
      <c r="J9" s="5" t="s">
        <v>75</v>
      </c>
      <c r="K9" s="5" t="s">
        <v>74</v>
      </c>
      <c r="L9" s="5" t="s">
        <v>73</v>
      </c>
      <c r="M9" s="5" t="s">
        <v>72</v>
      </c>
    </row>
    <row r="10" spans="1:14" s="4" customFormat="1" x14ac:dyDescent="0.25">
      <c r="A10" s="4">
        <v>1</v>
      </c>
      <c r="B10" s="3" t="s">
        <v>67</v>
      </c>
      <c r="C10" s="3" t="s">
        <v>61</v>
      </c>
      <c r="D10" s="3" t="s">
        <v>61</v>
      </c>
      <c r="E10" s="3" t="s">
        <v>71</v>
      </c>
      <c r="F10" s="3" t="s">
        <v>68</v>
      </c>
      <c r="G10" s="3">
        <v>9.1300000000000008</v>
      </c>
      <c r="H10" s="3" t="s">
        <v>55</v>
      </c>
      <c r="I10" s="3">
        <v>4</v>
      </c>
      <c r="J10" s="3" t="s">
        <v>64</v>
      </c>
      <c r="K10" s="3" t="s">
        <v>65</v>
      </c>
      <c r="L10" s="3" t="s">
        <v>58</v>
      </c>
      <c r="M10" s="3" t="str">
        <f>CONCATENATE(L10," ",L$9," ","-"," ",F10)</f>
        <v>no metilacion - Avanzado</v>
      </c>
      <c r="N10" s="3"/>
    </row>
    <row r="11" spans="1:14" s="4" customFormat="1" x14ac:dyDescent="0.25">
      <c r="A11" s="4">
        <v>1</v>
      </c>
      <c r="B11" s="3" t="s">
        <v>67</v>
      </c>
      <c r="C11" s="3" t="s">
        <v>61</v>
      </c>
      <c r="D11" s="3" t="s">
        <v>61</v>
      </c>
      <c r="E11" s="3" t="s">
        <v>71</v>
      </c>
      <c r="F11" s="3" t="s">
        <v>68</v>
      </c>
      <c r="G11" s="3">
        <v>9.1300000000000008</v>
      </c>
      <c r="H11" s="3" t="s">
        <v>55</v>
      </c>
      <c r="I11" s="3">
        <v>4</v>
      </c>
      <c r="J11" s="3" t="s">
        <v>63</v>
      </c>
      <c r="K11" s="3" t="s">
        <v>65</v>
      </c>
      <c r="L11" s="3" t="s">
        <v>58</v>
      </c>
      <c r="M11" s="3" t="str">
        <f>CONCATENATE(L11," ",L$9," ","-"," ",F11)</f>
        <v>no metilacion - Avanzado</v>
      </c>
      <c r="N11" s="3"/>
    </row>
    <row r="12" spans="1:14" s="4" customFormat="1" x14ac:dyDescent="0.25">
      <c r="A12" s="4">
        <v>1</v>
      </c>
      <c r="B12" s="3" t="s">
        <v>67</v>
      </c>
      <c r="C12" s="3" t="s">
        <v>61</v>
      </c>
      <c r="D12" s="3" t="s">
        <v>61</v>
      </c>
      <c r="E12" s="3" t="s">
        <v>71</v>
      </c>
      <c r="F12" s="3" t="s">
        <v>68</v>
      </c>
      <c r="G12" s="3">
        <v>9.1300000000000008</v>
      </c>
      <c r="H12" s="3" t="s">
        <v>55</v>
      </c>
      <c r="I12" s="3">
        <v>4</v>
      </c>
      <c r="J12" s="3" t="s">
        <v>57</v>
      </c>
      <c r="K12" s="3" t="s">
        <v>65</v>
      </c>
      <c r="L12" s="3" t="s">
        <v>58</v>
      </c>
      <c r="M12" s="3" t="str">
        <f>CONCATENATE(L12," ",L$9," ","-"," ",F12)</f>
        <v>no metilacion - Avanzado</v>
      </c>
      <c r="N12" s="3"/>
    </row>
    <row r="13" spans="1:14" s="4" customFormat="1" x14ac:dyDescent="0.25">
      <c r="A13" s="4">
        <v>1</v>
      </c>
      <c r="B13" s="3" t="s">
        <v>67</v>
      </c>
      <c r="C13" s="3" t="s">
        <v>61</v>
      </c>
      <c r="D13" s="3" t="s">
        <v>61</v>
      </c>
      <c r="E13" s="3" t="s">
        <v>71</v>
      </c>
      <c r="F13" s="3" t="s">
        <v>68</v>
      </c>
      <c r="G13" s="3">
        <v>9.1300000000000008</v>
      </c>
      <c r="H13" s="3" t="s">
        <v>55</v>
      </c>
      <c r="I13" s="3">
        <v>4</v>
      </c>
      <c r="J13" s="3" t="s">
        <v>64</v>
      </c>
      <c r="K13" s="3" t="s">
        <v>56</v>
      </c>
      <c r="L13" s="3" t="s">
        <v>58</v>
      </c>
      <c r="M13" s="3" t="str">
        <f>CONCATENATE(L13," ",L$9," ","-"," ",F13)</f>
        <v>no metilacion - Avanzado</v>
      </c>
      <c r="N13" s="3"/>
    </row>
    <row r="14" spans="1:14" s="4" customFormat="1" x14ac:dyDescent="0.25">
      <c r="A14" s="4">
        <v>1</v>
      </c>
      <c r="B14" s="3" t="s">
        <v>67</v>
      </c>
      <c r="C14" s="3" t="s">
        <v>61</v>
      </c>
      <c r="D14" s="3" t="s">
        <v>61</v>
      </c>
      <c r="E14" s="3" t="s">
        <v>71</v>
      </c>
      <c r="F14" s="3" t="s">
        <v>68</v>
      </c>
      <c r="G14" s="3">
        <v>9.1300000000000008</v>
      </c>
      <c r="H14" s="3" t="s">
        <v>55</v>
      </c>
      <c r="I14" s="3">
        <v>4</v>
      </c>
      <c r="J14" s="3" t="s">
        <v>63</v>
      </c>
      <c r="K14" s="3" t="s">
        <v>56</v>
      </c>
      <c r="L14" s="3" t="s">
        <v>58</v>
      </c>
      <c r="M14" s="3" t="str">
        <f>CONCATENATE(L14," ",L$9," ","-"," ",F14)</f>
        <v>no metilacion - Avanzado</v>
      </c>
      <c r="N14" s="3"/>
    </row>
    <row r="15" spans="1:14" s="4" customFormat="1" x14ac:dyDescent="0.25">
      <c r="A15" s="4">
        <v>1</v>
      </c>
      <c r="B15" s="3" t="s">
        <v>67</v>
      </c>
      <c r="C15" s="3" t="s">
        <v>61</v>
      </c>
      <c r="D15" s="3" t="s">
        <v>61</v>
      </c>
      <c r="E15" s="3" t="s">
        <v>71</v>
      </c>
      <c r="F15" s="3" t="s">
        <v>68</v>
      </c>
      <c r="G15" s="3">
        <v>9.1300000000000008</v>
      </c>
      <c r="H15" s="3" t="s">
        <v>55</v>
      </c>
      <c r="I15" s="3">
        <v>4</v>
      </c>
      <c r="J15" s="3" t="s">
        <v>57</v>
      </c>
      <c r="K15" s="3" t="s">
        <v>56</v>
      </c>
      <c r="L15" s="3" t="s">
        <v>58</v>
      </c>
      <c r="M15" s="3" t="str">
        <f>CONCATENATE(L15," ",L$9," ","-"," ",F15)</f>
        <v>no metilacion - Avanzado</v>
      </c>
      <c r="N15" s="3"/>
    </row>
    <row r="16" spans="1:14" s="4" customFormat="1" x14ac:dyDescent="0.25">
      <c r="A16" s="4">
        <v>5</v>
      </c>
      <c r="B16" s="3" t="s">
        <v>62</v>
      </c>
      <c r="C16" s="3" t="s">
        <v>70</v>
      </c>
      <c r="D16" s="3" t="s">
        <v>70</v>
      </c>
      <c r="E16" s="3" t="s">
        <v>69</v>
      </c>
      <c r="F16" s="3" t="s">
        <v>68</v>
      </c>
      <c r="G16" s="3">
        <v>8.25</v>
      </c>
      <c r="H16" s="3" t="s">
        <v>55</v>
      </c>
      <c r="I16" s="3">
        <v>3</v>
      </c>
      <c r="J16" s="3" t="s">
        <v>64</v>
      </c>
      <c r="K16" s="3" t="s">
        <v>65</v>
      </c>
      <c r="L16" s="3" t="s">
        <v>58</v>
      </c>
      <c r="M16" s="3" t="str">
        <f>CONCATENATE(L16," ",L$9," ","-"," ",F16)</f>
        <v>no metilacion - Avanzado</v>
      </c>
      <c r="N16" s="3"/>
    </row>
    <row r="17" spans="1:14" s="4" customFormat="1" x14ac:dyDescent="0.25">
      <c r="A17" s="4">
        <v>5</v>
      </c>
      <c r="B17" s="3" t="s">
        <v>62</v>
      </c>
      <c r="C17" s="3" t="s">
        <v>70</v>
      </c>
      <c r="D17" s="3" t="s">
        <v>70</v>
      </c>
      <c r="E17" s="3" t="s">
        <v>69</v>
      </c>
      <c r="F17" s="3" t="s">
        <v>68</v>
      </c>
      <c r="G17" s="3">
        <v>8.25</v>
      </c>
      <c r="H17" s="3" t="s">
        <v>55</v>
      </c>
      <c r="I17" s="3">
        <v>3</v>
      </c>
      <c r="J17" s="3" t="s">
        <v>63</v>
      </c>
      <c r="K17" s="3" t="s">
        <v>65</v>
      </c>
      <c r="L17" s="3" t="s">
        <v>58</v>
      </c>
      <c r="M17" s="3" t="str">
        <f>CONCATENATE(L17," ",L$9," ","-"," ",F17)</f>
        <v>no metilacion - Avanzado</v>
      </c>
      <c r="N17" s="3"/>
    </row>
    <row r="18" spans="1:14" s="4" customFormat="1" x14ac:dyDescent="0.25">
      <c r="A18" s="4">
        <v>5</v>
      </c>
      <c r="B18" s="3" t="s">
        <v>62</v>
      </c>
      <c r="C18" s="3" t="s">
        <v>70</v>
      </c>
      <c r="D18" s="3" t="s">
        <v>70</v>
      </c>
      <c r="E18" s="3" t="s">
        <v>69</v>
      </c>
      <c r="F18" s="3" t="s">
        <v>68</v>
      </c>
      <c r="G18" s="3">
        <v>8.25</v>
      </c>
      <c r="H18" s="3" t="s">
        <v>55</v>
      </c>
      <c r="I18" s="3">
        <v>3</v>
      </c>
      <c r="J18" s="3" t="s">
        <v>57</v>
      </c>
      <c r="K18" s="3" t="s">
        <v>65</v>
      </c>
      <c r="L18" s="3" t="s">
        <v>58</v>
      </c>
      <c r="M18" s="3" t="str">
        <f>CONCATENATE(L18," ",L$9," ","-"," ",F18)</f>
        <v>no metilacion - Avanzado</v>
      </c>
      <c r="N18" s="3"/>
    </row>
    <row r="19" spans="1:14" s="4" customFormat="1" x14ac:dyDescent="0.25">
      <c r="A19" s="4">
        <v>5</v>
      </c>
      <c r="B19" s="3" t="s">
        <v>62</v>
      </c>
      <c r="C19" s="3" t="s">
        <v>70</v>
      </c>
      <c r="D19" s="3" t="s">
        <v>70</v>
      </c>
      <c r="E19" s="3" t="s">
        <v>69</v>
      </c>
      <c r="F19" s="3" t="s">
        <v>68</v>
      </c>
      <c r="G19" s="3">
        <v>8.25</v>
      </c>
      <c r="H19" s="3" t="s">
        <v>55</v>
      </c>
      <c r="I19" s="3">
        <v>3</v>
      </c>
      <c r="J19" s="3" t="s">
        <v>64</v>
      </c>
      <c r="K19" s="3" t="s">
        <v>56</v>
      </c>
      <c r="L19" s="3" t="s">
        <v>55</v>
      </c>
      <c r="M19" s="3" t="str">
        <f>CONCATENATE(L19," ",L$9," ","-"," ",F19)</f>
        <v>si metilacion - Avanzado</v>
      </c>
      <c r="N19" s="3"/>
    </row>
    <row r="20" spans="1:14" s="4" customFormat="1" x14ac:dyDescent="0.25">
      <c r="A20" s="4">
        <v>5</v>
      </c>
      <c r="B20" s="3" t="s">
        <v>62</v>
      </c>
      <c r="C20" s="3" t="s">
        <v>70</v>
      </c>
      <c r="D20" s="3" t="s">
        <v>70</v>
      </c>
      <c r="E20" s="3" t="s">
        <v>69</v>
      </c>
      <c r="F20" s="3" t="s">
        <v>68</v>
      </c>
      <c r="G20" s="3">
        <v>8.25</v>
      </c>
      <c r="H20" s="3" t="s">
        <v>55</v>
      </c>
      <c r="I20" s="3">
        <v>3</v>
      </c>
      <c r="J20" s="3" t="s">
        <v>63</v>
      </c>
      <c r="K20" s="3" t="s">
        <v>56</v>
      </c>
      <c r="L20" s="3" t="s">
        <v>58</v>
      </c>
      <c r="M20" s="3" t="str">
        <f>CONCATENATE(L20," ",L$9," ","-"," ",F20)</f>
        <v>no metilacion - Avanzado</v>
      </c>
      <c r="N20" s="3"/>
    </row>
    <row r="21" spans="1:14" x14ac:dyDescent="0.25">
      <c r="A21" s="4">
        <v>5</v>
      </c>
      <c r="B21" s="3" t="s">
        <v>62</v>
      </c>
      <c r="C21" s="3" t="s">
        <v>70</v>
      </c>
      <c r="D21" s="3" t="s">
        <v>70</v>
      </c>
      <c r="E21" s="3" t="s">
        <v>69</v>
      </c>
      <c r="F21" s="3" t="s">
        <v>68</v>
      </c>
      <c r="G21" s="3">
        <v>8.25</v>
      </c>
      <c r="H21" s="3" t="s">
        <v>55</v>
      </c>
      <c r="I21" s="3">
        <v>3</v>
      </c>
      <c r="J21" s="3" t="s">
        <v>57</v>
      </c>
      <c r="K21" s="3" t="s">
        <v>56</v>
      </c>
      <c r="L21" s="3" t="s">
        <v>58</v>
      </c>
      <c r="M21" s="3" t="str">
        <f>CONCATENATE(L21," ",L$9," ","-"," ",F21)</f>
        <v>no metilacion - Avanzado</v>
      </c>
    </row>
    <row r="22" spans="1:14" x14ac:dyDescent="0.25">
      <c r="A22" s="4">
        <v>143</v>
      </c>
      <c r="B22" s="3" t="s">
        <v>62</v>
      </c>
      <c r="C22" s="3" t="s">
        <v>61</v>
      </c>
      <c r="D22" s="3" t="s">
        <v>61</v>
      </c>
      <c r="E22" s="3" t="s">
        <v>60</v>
      </c>
      <c r="F22" s="3" t="s">
        <v>59</v>
      </c>
      <c r="G22" s="3">
        <v>26.28</v>
      </c>
      <c r="H22" s="3" t="s">
        <v>58</v>
      </c>
      <c r="I22" s="3">
        <v>1</v>
      </c>
      <c r="J22" s="3" t="s">
        <v>64</v>
      </c>
      <c r="K22" s="3" t="s">
        <v>65</v>
      </c>
      <c r="L22" s="3" t="s">
        <v>55</v>
      </c>
      <c r="M22" s="3" t="str">
        <f>CONCATENATE(L22," ",L$9," ","-"," ",F22)</f>
        <v>si metilacion - local</v>
      </c>
    </row>
    <row r="23" spans="1:14" x14ac:dyDescent="0.25">
      <c r="A23" s="4">
        <v>143</v>
      </c>
      <c r="B23" s="3" t="s">
        <v>62</v>
      </c>
      <c r="C23" s="3" t="s">
        <v>61</v>
      </c>
      <c r="D23" s="3" t="s">
        <v>61</v>
      </c>
      <c r="E23" s="3" t="s">
        <v>60</v>
      </c>
      <c r="F23" s="3" t="s">
        <v>59</v>
      </c>
      <c r="G23" s="3">
        <v>26.28</v>
      </c>
      <c r="H23" s="3" t="s">
        <v>58</v>
      </c>
      <c r="I23" s="3">
        <v>1</v>
      </c>
      <c r="J23" s="3" t="s">
        <v>63</v>
      </c>
      <c r="K23" s="3" t="s">
        <v>65</v>
      </c>
      <c r="L23" s="3" t="s">
        <v>55</v>
      </c>
      <c r="M23" s="3" t="str">
        <f>CONCATENATE(L23," ",L$9," ","-"," ",F23)</f>
        <v>si metilacion - local</v>
      </c>
    </row>
    <row r="24" spans="1:14" x14ac:dyDescent="0.25">
      <c r="A24" s="4">
        <v>143</v>
      </c>
      <c r="B24" s="3" t="s">
        <v>62</v>
      </c>
      <c r="C24" s="3" t="s">
        <v>61</v>
      </c>
      <c r="D24" s="3" t="s">
        <v>61</v>
      </c>
      <c r="E24" s="3" t="s">
        <v>60</v>
      </c>
      <c r="F24" s="3" t="s">
        <v>59</v>
      </c>
      <c r="G24" s="3">
        <v>26.28</v>
      </c>
      <c r="H24" s="3" t="s">
        <v>58</v>
      </c>
      <c r="I24" s="3">
        <v>1</v>
      </c>
      <c r="J24" s="3" t="s">
        <v>57</v>
      </c>
      <c r="K24" s="3" t="s">
        <v>65</v>
      </c>
      <c r="L24" s="3" t="s">
        <v>55</v>
      </c>
      <c r="M24" s="3" t="str">
        <f>CONCATENATE(L24," ",L$9," ","-"," ",F24)</f>
        <v>si metilacion - local</v>
      </c>
    </row>
    <row r="25" spans="1:14" x14ac:dyDescent="0.25">
      <c r="A25" s="4">
        <v>143</v>
      </c>
      <c r="B25" s="3" t="s">
        <v>62</v>
      </c>
      <c r="C25" s="3" t="s">
        <v>61</v>
      </c>
      <c r="D25" s="3" t="s">
        <v>61</v>
      </c>
      <c r="E25" s="3" t="s">
        <v>60</v>
      </c>
      <c r="F25" s="3" t="s">
        <v>59</v>
      </c>
      <c r="G25" s="3">
        <v>26.28</v>
      </c>
      <c r="H25" s="3" t="s">
        <v>58</v>
      </c>
      <c r="I25" s="3">
        <v>1</v>
      </c>
      <c r="J25" s="3" t="s">
        <v>64</v>
      </c>
      <c r="K25" s="3" t="s">
        <v>56</v>
      </c>
      <c r="L25" s="3" t="s">
        <v>55</v>
      </c>
      <c r="M25" s="3" t="str">
        <f>CONCATENATE(L25," ",L$9," ","-"," ",F25)</f>
        <v>si metilacion - local</v>
      </c>
    </row>
    <row r="26" spans="1:14" x14ac:dyDescent="0.25">
      <c r="A26" s="4">
        <v>143</v>
      </c>
      <c r="B26" s="3" t="s">
        <v>62</v>
      </c>
      <c r="C26" s="3" t="s">
        <v>61</v>
      </c>
      <c r="D26" s="3" t="s">
        <v>61</v>
      </c>
      <c r="E26" s="3" t="s">
        <v>60</v>
      </c>
      <c r="F26" s="3" t="s">
        <v>59</v>
      </c>
      <c r="G26" s="3">
        <v>26.28</v>
      </c>
      <c r="H26" s="3" t="s">
        <v>58</v>
      </c>
      <c r="I26" s="3">
        <v>1</v>
      </c>
      <c r="J26" s="3" t="s">
        <v>63</v>
      </c>
      <c r="K26" s="3" t="s">
        <v>56</v>
      </c>
      <c r="L26" s="3" t="s">
        <v>55</v>
      </c>
      <c r="M26" s="3" t="str">
        <f>CONCATENATE(L26," ",L$9," ","-"," ",F26)</f>
        <v>si metilacion - local</v>
      </c>
    </row>
    <row r="27" spans="1:14" x14ac:dyDescent="0.25">
      <c r="A27" s="4">
        <v>143</v>
      </c>
      <c r="B27" s="3" t="s">
        <v>62</v>
      </c>
      <c r="C27" s="3" t="s">
        <v>61</v>
      </c>
      <c r="D27" s="3" t="s">
        <v>61</v>
      </c>
      <c r="E27" s="3" t="s">
        <v>60</v>
      </c>
      <c r="F27" s="3" t="s">
        <v>59</v>
      </c>
      <c r="G27" s="3">
        <v>26.28</v>
      </c>
      <c r="H27" s="3" t="s">
        <v>58</v>
      </c>
      <c r="I27" s="3">
        <v>1</v>
      </c>
      <c r="J27" s="3" t="s">
        <v>57</v>
      </c>
      <c r="K27" s="3" t="s">
        <v>56</v>
      </c>
      <c r="L27" s="3" t="s">
        <v>55</v>
      </c>
      <c r="M27" s="3" t="str">
        <f>CONCATENATE(L27," ",L$9," ","-"," ",F27)</f>
        <v>si metilacion - local</v>
      </c>
    </row>
    <row r="28" spans="1:14" x14ac:dyDescent="0.25">
      <c r="A28" s="4">
        <v>149</v>
      </c>
      <c r="B28" s="3" t="s">
        <v>67</v>
      </c>
      <c r="C28" s="3" t="s">
        <v>61</v>
      </c>
      <c r="D28" s="3" t="s">
        <v>61</v>
      </c>
      <c r="E28" s="3" t="s">
        <v>66</v>
      </c>
      <c r="F28" s="3" t="s">
        <v>59</v>
      </c>
      <c r="G28" s="3">
        <v>30.65</v>
      </c>
      <c r="H28" s="3" t="s">
        <v>55</v>
      </c>
      <c r="I28" s="3">
        <v>5</v>
      </c>
      <c r="J28" s="3" t="s">
        <v>64</v>
      </c>
      <c r="K28" s="3" t="s">
        <v>65</v>
      </c>
      <c r="L28" s="3" t="s">
        <v>58</v>
      </c>
      <c r="M28" s="3" t="str">
        <f>CONCATENATE(L28," ",L$9," ","-"," ",F28)</f>
        <v>no metilacion - local</v>
      </c>
    </row>
    <row r="29" spans="1:14" x14ac:dyDescent="0.25">
      <c r="A29" s="4">
        <v>149</v>
      </c>
      <c r="B29" s="3" t="s">
        <v>67</v>
      </c>
      <c r="C29" s="3" t="s">
        <v>61</v>
      </c>
      <c r="D29" s="3" t="s">
        <v>61</v>
      </c>
      <c r="E29" s="3" t="s">
        <v>66</v>
      </c>
      <c r="F29" s="3" t="s">
        <v>59</v>
      </c>
      <c r="G29" s="3">
        <v>30.65</v>
      </c>
      <c r="H29" s="3" t="s">
        <v>55</v>
      </c>
      <c r="I29" s="3">
        <v>5</v>
      </c>
      <c r="J29" s="3" t="s">
        <v>63</v>
      </c>
      <c r="K29" s="3" t="s">
        <v>65</v>
      </c>
      <c r="L29" s="3" t="s">
        <v>58</v>
      </c>
      <c r="M29" s="3" t="str">
        <f>CONCATENATE(L29," ",L$9," ","-"," ",F29)</f>
        <v>no metilacion - local</v>
      </c>
    </row>
    <row r="30" spans="1:14" x14ac:dyDescent="0.25">
      <c r="A30" s="4">
        <v>149</v>
      </c>
      <c r="B30" s="3" t="s">
        <v>67</v>
      </c>
      <c r="C30" s="3" t="s">
        <v>61</v>
      </c>
      <c r="D30" s="3" t="s">
        <v>61</v>
      </c>
      <c r="E30" s="3" t="s">
        <v>66</v>
      </c>
      <c r="F30" s="3" t="s">
        <v>59</v>
      </c>
      <c r="G30" s="3">
        <v>30.65</v>
      </c>
      <c r="H30" s="3" t="s">
        <v>55</v>
      </c>
      <c r="I30" s="3">
        <v>5</v>
      </c>
      <c r="J30" s="3" t="s">
        <v>57</v>
      </c>
      <c r="K30" s="3" t="s">
        <v>65</v>
      </c>
      <c r="L30" s="3" t="s">
        <v>58</v>
      </c>
      <c r="M30" s="3" t="str">
        <f>CONCATENATE(L30," ",L$9," ","-"," ",F30)</f>
        <v>no metilacion - local</v>
      </c>
    </row>
    <row r="31" spans="1:14" x14ac:dyDescent="0.25">
      <c r="A31" s="4">
        <v>149</v>
      </c>
      <c r="B31" s="3" t="s">
        <v>67</v>
      </c>
      <c r="C31" s="3" t="s">
        <v>61</v>
      </c>
      <c r="D31" s="3" t="s">
        <v>61</v>
      </c>
      <c r="E31" s="3" t="s">
        <v>66</v>
      </c>
      <c r="F31" s="3" t="s">
        <v>59</v>
      </c>
      <c r="G31" s="3">
        <v>30.65</v>
      </c>
      <c r="H31" s="3" t="s">
        <v>55</v>
      </c>
      <c r="I31" s="3">
        <v>5</v>
      </c>
      <c r="J31" s="3" t="s">
        <v>64</v>
      </c>
      <c r="K31" s="3" t="s">
        <v>56</v>
      </c>
      <c r="L31" s="3" t="s">
        <v>55</v>
      </c>
      <c r="M31" s="3" t="str">
        <f>CONCATENATE(L31," ",L$9," ","-"," ",F31)</f>
        <v>si metilacion - local</v>
      </c>
    </row>
    <row r="32" spans="1:14" x14ac:dyDescent="0.25">
      <c r="A32" s="4">
        <v>149</v>
      </c>
      <c r="B32" s="3" t="s">
        <v>67</v>
      </c>
      <c r="C32" s="3" t="s">
        <v>61</v>
      </c>
      <c r="D32" s="3" t="s">
        <v>61</v>
      </c>
      <c r="E32" s="3" t="s">
        <v>66</v>
      </c>
      <c r="F32" s="3" t="s">
        <v>59</v>
      </c>
      <c r="G32" s="3">
        <v>30.65</v>
      </c>
      <c r="H32" s="3" t="s">
        <v>55</v>
      </c>
      <c r="I32" s="3">
        <v>5</v>
      </c>
      <c r="J32" s="3" t="s">
        <v>63</v>
      </c>
      <c r="K32" s="3" t="s">
        <v>56</v>
      </c>
      <c r="L32" s="3" t="s">
        <v>58</v>
      </c>
      <c r="M32" s="3" t="str">
        <f>CONCATENATE(L32," ",L$9," ","-"," ",F32)</f>
        <v>no metilacion - local</v>
      </c>
    </row>
    <row r="33" spans="1:14" x14ac:dyDescent="0.25">
      <c r="A33" s="4">
        <v>149</v>
      </c>
      <c r="B33" s="3" t="s">
        <v>67</v>
      </c>
      <c r="C33" s="3" t="s">
        <v>61</v>
      </c>
      <c r="D33" s="3" t="s">
        <v>61</v>
      </c>
      <c r="E33" s="3" t="s">
        <v>66</v>
      </c>
      <c r="F33" s="3" t="s">
        <v>59</v>
      </c>
      <c r="G33" s="3">
        <v>30.65</v>
      </c>
      <c r="H33" s="3" t="s">
        <v>55</v>
      </c>
      <c r="I33" s="3">
        <v>5</v>
      </c>
      <c r="J33" s="3" t="s">
        <v>57</v>
      </c>
      <c r="K33" s="3" t="s">
        <v>56</v>
      </c>
      <c r="L33" s="3" t="s">
        <v>55</v>
      </c>
      <c r="M33" s="3" t="str">
        <f>CONCATENATE(L33," ",L$9," ","-"," ",F33)</f>
        <v>si metilacion - local</v>
      </c>
    </row>
    <row r="34" spans="1:14" x14ac:dyDescent="0.25">
      <c r="A34" s="4">
        <v>156</v>
      </c>
      <c r="B34" s="3" t="s">
        <v>62</v>
      </c>
      <c r="C34" s="3" t="s">
        <v>61</v>
      </c>
      <c r="D34" s="3" t="s">
        <v>61</v>
      </c>
      <c r="E34" s="3" t="s">
        <v>60</v>
      </c>
      <c r="F34" s="3" t="s">
        <v>59</v>
      </c>
      <c r="G34" s="3">
        <v>17.38</v>
      </c>
      <c r="H34" s="3" t="s">
        <v>58</v>
      </c>
      <c r="I34" s="3">
        <v>6</v>
      </c>
      <c r="J34" s="3" t="s">
        <v>64</v>
      </c>
      <c r="K34" s="3" t="s">
        <v>65</v>
      </c>
      <c r="L34" s="3" t="s">
        <v>58</v>
      </c>
      <c r="M34" s="3" t="str">
        <f>CONCATENATE(L34," ",L$9," ","-"," ",F34)</f>
        <v>no metilacion - local</v>
      </c>
    </row>
    <row r="35" spans="1:14" s="5" customFormat="1" x14ac:dyDescent="0.25">
      <c r="A35" s="4">
        <v>156</v>
      </c>
      <c r="B35" s="3" t="s">
        <v>62</v>
      </c>
      <c r="C35" s="3" t="s">
        <v>61</v>
      </c>
      <c r="D35" s="3" t="s">
        <v>61</v>
      </c>
      <c r="E35" s="3" t="s">
        <v>60</v>
      </c>
      <c r="F35" s="3" t="s">
        <v>59</v>
      </c>
      <c r="G35" s="3">
        <v>17.38</v>
      </c>
      <c r="H35" s="3" t="s">
        <v>58</v>
      </c>
      <c r="I35" s="3">
        <v>6</v>
      </c>
      <c r="J35" s="3" t="s">
        <v>63</v>
      </c>
      <c r="K35" s="3" t="s">
        <v>65</v>
      </c>
      <c r="L35" s="3" t="s">
        <v>55</v>
      </c>
      <c r="M35" s="3" t="str">
        <f>CONCATENATE(L35," ",L$9," ","-"," ",F35)</f>
        <v>si metilacion - local</v>
      </c>
    </row>
    <row r="36" spans="1:14" s="4" customFormat="1" x14ac:dyDescent="0.25">
      <c r="A36" s="4">
        <v>156</v>
      </c>
      <c r="B36" s="3" t="s">
        <v>62</v>
      </c>
      <c r="C36" s="3" t="s">
        <v>61</v>
      </c>
      <c r="D36" s="3" t="s">
        <v>61</v>
      </c>
      <c r="E36" s="3" t="s">
        <v>60</v>
      </c>
      <c r="F36" s="3" t="s">
        <v>59</v>
      </c>
      <c r="G36" s="3">
        <v>17.38</v>
      </c>
      <c r="H36" s="3" t="s">
        <v>58</v>
      </c>
      <c r="I36" s="3">
        <v>6</v>
      </c>
      <c r="J36" s="3" t="s">
        <v>57</v>
      </c>
      <c r="K36" s="3" t="s">
        <v>65</v>
      </c>
      <c r="L36" s="3" t="s">
        <v>55</v>
      </c>
      <c r="M36" s="3" t="str">
        <f>CONCATENATE(L36," ",L$9," ","-"," ",F36)</f>
        <v>si metilacion - local</v>
      </c>
      <c r="N36" s="3"/>
    </row>
    <row r="37" spans="1:14" s="4" customFormat="1" x14ac:dyDescent="0.25">
      <c r="A37" s="4">
        <v>156</v>
      </c>
      <c r="B37" s="3" t="s">
        <v>62</v>
      </c>
      <c r="C37" s="3" t="s">
        <v>61</v>
      </c>
      <c r="D37" s="3" t="s">
        <v>61</v>
      </c>
      <c r="E37" s="3" t="s">
        <v>60</v>
      </c>
      <c r="F37" s="3" t="s">
        <v>59</v>
      </c>
      <c r="G37" s="3">
        <v>17.38</v>
      </c>
      <c r="H37" s="3" t="s">
        <v>58</v>
      </c>
      <c r="I37" s="3">
        <v>6</v>
      </c>
      <c r="J37" s="3" t="s">
        <v>64</v>
      </c>
      <c r="K37" s="3" t="s">
        <v>56</v>
      </c>
      <c r="L37" s="3" t="s">
        <v>55</v>
      </c>
      <c r="M37" s="3" t="str">
        <f>CONCATENATE(L37," ",L$9," ","-"," ",F37)</f>
        <v>si metilacion - local</v>
      </c>
      <c r="N37" s="3"/>
    </row>
    <row r="38" spans="1:14" x14ac:dyDescent="0.25">
      <c r="A38" s="4">
        <v>156</v>
      </c>
      <c r="B38" s="3" t="s">
        <v>62</v>
      </c>
      <c r="C38" s="3" t="s">
        <v>61</v>
      </c>
      <c r="D38" s="3" t="s">
        <v>61</v>
      </c>
      <c r="E38" s="3" t="s">
        <v>60</v>
      </c>
      <c r="F38" s="3" t="s">
        <v>59</v>
      </c>
      <c r="G38" s="3">
        <v>17.38</v>
      </c>
      <c r="H38" s="3" t="s">
        <v>58</v>
      </c>
      <c r="I38" s="3">
        <v>6</v>
      </c>
      <c r="J38" s="3" t="s">
        <v>63</v>
      </c>
      <c r="K38" s="3" t="s">
        <v>56</v>
      </c>
      <c r="L38" s="3" t="s">
        <v>55</v>
      </c>
      <c r="M38" s="3" t="str">
        <f>CONCATENATE(L38," ",L$9," ","-"," ",F38)</f>
        <v>si metilacion - local</v>
      </c>
    </row>
    <row r="39" spans="1:14" x14ac:dyDescent="0.25">
      <c r="A39" s="4">
        <v>156</v>
      </c>
      <c r="B39" s="3" t="s">
        <v>62</v>
      </c>
      <c r="C39" s="3" t="s">
        <v>61</v>
      </c>
      <c r="D39" s="3" t="s">
        <v>61</v>
      </c>
      <c r="E39" s="3" t="s">
        <v>60</v>
      </c>
      <c r="F39" s="3" t="s">
        <v>59</v>
      </c>
      <c r="G39" s="3">
        <v>17.38</v>
      </c>
      <c r="H39" s="3" t="s">
        <v>58</v>
      </c>
      <c r="I39" s="3">
        <v>6</v>
      </c>
      <c r="J39" s="3" t="s">
        <v>57</v>
      </c>
      <c r="K39" s="3" t="s">
        <v>56</v>
      </c>
      <c r="L39" s="3" t="s">
        <v>55</v>
      </c>
      <c r="M39" s="3" t="str">
        <f>CONCATENATE(L39," ",L$9," ","-"," ",F39)</f>
        <v>si metilacion - local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diccionario</vt:lpstr>
      <vt:lpstr>data_ejemplo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aportillol</dc:creator>
  <cp:lastModifiedBy>Juan Pablo Portillo Laupa</cp:lastModifiedBy>
  <dcterms:created xsi:type="dcterms:W3CDTF">2026-06-30T14:03:01Z</dcterms:created>
  <dcterms:modified xsi:type="dcterms:W3CDTF">2026-07-02T20:30:22Z</dcterms:modified>
</cp:coreProperties>
</file>